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source\KPDL\251121\"/>
    </mc:Choice>
  </mc:AlternateContent>
  <xr:revisionPtr revIDLastSave="0" documentId="8_{94FEF364-7F04-4FEF-8EA9-0EAACF9284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J3" i="1"/>
  <c r="Q5" i="1"/>
  <c r="Q6" i="1"/>
  <c r="Q7" i="1"/>
  <c r="Q8" i="1"/>
  <c r="Q9" i="1"/>
  <c r="Q10" i="1"/>
  <c r="Q11" i="1"/>
  <c r="Q4" i="1"/>
  <c r="J4" i="1"/>
  <c r="O11" i="1"/>
  <c r="O10" i="1"/>
  <c r="O9" i="1"/>
  <c r="O8" i="1"/>
  <c r="O7" i="1"/>
  <c r="O6" i="1"/>
  <c r="O5" i="1"/>
  <c r="O4" i="1"/>
  <c r="M11" i="1"/>
  <c r="K11" i="1"/>
  <c r="M10" i="1"/>
  <c r="K10" i="1"/>
  <c r="M9" i="1"/>
  <c r="K9" i="1"/>
  <c r="M8" i="1"/>
  <c r="K8" i="1"/>
  <c r="M7" i="1"/>
  <c r="K7" i="1"/>
  <c r="M6" i="1"/>
  <c r="K6" i="1"/>
  <c r="M5" i="1"/>
  <c r="K5" i="1"/>
  <c r="M4" i="1"/>
  <c r="K4" i="1"/>
  <c r="J5" i="1"/>
  <c r="J6" i="1"/>
  <c r="J7" i="1"/>
  <c r="J8" i="1"/>
  <c r="J9" i="1"/>
  <c r="J10" i="1"/>
  <c r="J11" i="1"/>
  <c r="F5" i="1"/>
  <c r="H5" i="1"/>
  <c r="F6" i="1"/>
  <c r="H6" i="1"/>
  <c r="F7" i="1"/>
  <c r="H7" i="1"/>
  <c r="F8" i="1"/>
  <c r="H8" i="1"/>
  <c r="F9" i="1"/>
  <c r="H9" i="1"/>
  <c r="F10" i="1"/>
  <c r="H10" i="1"/>
  <c r="F11" i="1"/>
  <c r="H11" i="1"/>
  <c r="H4" i="1"/>
  <c r="F4" i="1"/>
  <c r="D5" i="1"/>
  <c r="D6" i="1"/>
  <c r="D7" i="1"/>
  <c r="D8" i="1"/>
  <c r="D9" i="1"/>
  <c r="D10" i="1"/>
  <c r="D11" i="1"/>
  <c r="D4" i="1"/>
</calcChain>
</file>

<file path=xl/sharedStrings.xml><?xml version="1.0" encoding="utf-8"?>
<sst xmlns="http://schemas.openxmlformats.org/spreadsheetml/2006/main" count="33" uniqueCount="17">
  <si>
    <t>Income</t>
  </si>
  <si>
    <t>spending</t>
  </si>
  <si>
    <t>x</t>
  </si>
  <si>
    <t>y</t>
  </si>
  <si>
    <t>ID1</t>
  </si>
  <si>
    <t>ID2</t>
  </si>
  <si>
    <t>ID3</t>
  </si>
  <si>
    <t>ID4</t>
  </si>
  <si>
    <t>ID5</t>
  </si>
  <si>
    <t>ID6</t>
  </si>
  <si>
    <t>ID7</t>
  </si>
  <si>
    <t>ID8</t>
  </si>
  <si>
    <t>C1</t>
  </si>
  <si>
    <t>C2</t>
  </si>
  <si>
    <t>C3</t>
  </si>
  <si>
    <t>CỤM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</si>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</sst>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0" xfId="0" applyFill="1"/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tabSelected="1" workbookViewId="0">
      <selection activeCell="J22" sqref="J22"/>
    </sheetView>
  </sheetViews>
  <sheetFormatPr defaultRowHeight="15" x14ac:dyDescent="0.25"/>
  <cols>
    <col min="4" max="9" width="9.140625" style="3"/>
  </cols>
  <sheetData>
    <row r="1" spans="1:17" x14ac:dyDescent="0.25">
      <c r="A1" s="8" t="s">
        <v>16</v>
      </c>
      <c r="B1" s="8" t="s">
        <v>0</v>
      </c>
      <c r="C1" s="8" t="s">
        <v>1</v>
      </c>
      <c r="D1" s="4" t="s">
        <v>12</v>
      </c>
      <c r="E1" s="5"/>
      <c r="F1" s="4" t="s">
        <v>13</v>
      </c>
      <c r="G1" s="5"/>
      <c r="H1" s="4" t="s">
        <v>14</v>
      </c>
      <c r="I1" s="5"/>
      <c r="J1" s="7" t="s">
        <v>15</v>
      </c>
      <c r="K1" s="6" t="s">
        <v>12</v>
      </c>
      <c r="L1" s="6"/>
      <c r="M1" s="6" t="s">
        <v>13</v>
      </c>
      <c r="N1" s="6"/>
      <c r="O1" s="6" t="s">
        <v>14</v>
      </c>
      <c r="P1" s="6"/>
      <c r="Q1" s="7" t="s">
        <v>15</v>
      </c>
    </row>
    <row r="2" spans="1:17" x14ac:dyDescent="0.25">
      <c r="A2" s="9"/>
      <c r="B2" s="10"/>
      <c r="C2" s="10"/>
      <c r="D2" s="2" t="s">
        <v>2</v>
      </c>
      <c r="E2" s="2" t="s">
        <v>3</v>
      </c>
      <c r="F2" s="2" t="s">
        <v>2</v>
      </c>
      <c r="G2" s="2" t="s">
        <v>3</v>
      </c>
      <c r="H2" s="2" t="s">
        <v>2</v>
      </c>
      <c r="I2" s="2" t="s">
        <v>3</v>
      </c>
      <c r="J2" s="7"/>
      <c r="K2" s="2" t="s">
        <v>2</v>
      </c>
      <c r="L2" s="2" t="s">
        <v>3</v>
      </c>
      <c r="M2" s="2" t="s">
        <v>2</v>
      </c>
      <c r="N2" s="2" t="s">
        <v>3</v>
      </c>
      <c r="O2" s="2" t="s">
        <v>2</v>
      </c>
      <c r="P2" s="2" t="s">
        <v>3</v>
      </c>
      <c r="Q2" s="7"/>
    </row>
    <row r="3" spans="1:17" ht="15.75" customHeight="1" x14ac:dyDescent="0.25">
      <c r="A3" s="10"/>
      <c r="B3" s="1" t="s">
        <v>2</v>
      </c>
      <c r="C3" s="1" t="s">
        <v>3</v>
      </c>
      <c r="D3" s="2">
        <v>35</v>
      </c>
      <c r="E3" s="2">
        <v>25</v>
      </c>
      <c r="F3" s="2">
        <v>80</v>
      </c>
      <c r="G3" s="2">
        <v>72</v>
      </c>
      <c r="H3" s="2">
        <v>30</v>
      </c>
      <c r="I3" s="2">
        <v>75</v>
      </c>
      <c r="J3" s="11">
        <f>SUM(SUMIF(J4:J11,"C1",D4:E11),SUMIF(J4:J11,"C2",F4:G11),SUMIF(J4:J11,"C3",H4:I11))</f>
        <v>95</v>
      </c>
      <c r="K3" s="2">
        <v>35</v>
      </c>
      <c r="L3" s="2">
        <v>25</v>
      </c>
      <c r="M3" s="2">
        <v>80</v>
      </c>
      <c r="N3" s="2">
        <v>72</v>
      </c>
      <c r="O3" s="1">
        <v>25</v>
      </c>
      <c r="P3" s="1">
        <v>70</v>
      </c>
      <c r="Q3" s="11">
        <f>SUM(SUMIF(Q4:Q11,"C1",K4:L11),SUMIF(Q4:Q11,"C2",M4:N11),SUMIF(Q4:Q11,"C3",O4:P11))</f>
        <v>95</v>
      </c>
    </row>
    <row r="4" spans="1:17" x14ac:dyDescent="0.25">
      <c r="A4" s="1" t="s">
        <v>4</v>
      </c>
      <c r="B4" s="1">
        <v>20</v>
      </c>
      <c r="C4" s="1">
        <v>10</v>
      </c>
      <c r="D4" s="4">
        <f>ABS(D$3-$B4)+ABS(E$3-$C4)</f>
        <v>30</v>
      </c>
      <c r="E4" s="5"/>
      <c r="F4" s="4">
        <f>ABS(F$3-$B4)+ABS(G$3-$C4)</f>
        <v>122</v>
      </c>
      <c r="G4" s="5"/>
      <c r="H4" s="4">
        <f>ABS(H$3-$B4)+ABS(I$3-$C4)</f>
        <v>75</v>
      </c>
      <c r="I4" s="5"/>
      <c r="J4" s="1" t="str">
        <f>IF(MIN(D4:I4) = D4, "C1", IF(MIN(D4:I4) = F4, "C2", "C3"))</f>
        <v>C1</v>
      </c>
      <c r="K4" s="4">
        <f>ABS(K$3-$B4)+ABS(L$3-$C4)</f>
        <v>30</v>
      </c>
      <c r="L4" s="5"/>
      <c r="M4" s="4">
        <f>ABS(M$3-$B4)+ABS(N$3-$C4)</f>
        <v>122</v>
      </c>
      <c r="N4" s="5"/>
      <c r="O4" s="4">
        <f>ABS(O$3-$B4)+ABS(P$3-$C4)</f>
        <v>65</v>
      </c>
      <c r="P4" s="5"/>
      <c r="Q4" s="1" t="str">
        <f>IF(MIN(K4:P4) = K4, "C1", IF(MIN(K4:P4) = M4, "C2", "C3"))</f>
        <v>C1</v>
      </c>
    </row>
    <row r="5" spans="1:17" x14ac:dyDescent="0.25">
      <c r="A5" s="1" t="s">
        <v>5</v>
      </c>
      <c r="B5" s="1">
        <v>35</v>
      </c>
      <c r="C5" s="1">
        <v>25</v>
      </c>
      <c r="D5" s="4">
        <f t="shared" ref="D5:D11" si="0">ABS(D$3-$B5)+ABS(E$3-$C5)</f>
        <v>0</v>
      </c>
      <c r="E5" s="5"/>
      <c r="F5" s="4">
        <f t="shared" ref="F5:F11" si="1">ABS(F$3-$B5)+ABS(G$3-$C5)</f>
        <v>92</v>
      </c>
      <c r="G5" s="5"/>
      <c r="H5" s="4">
        <f t="shared" ref="H5:H11" si="2">ABS(H$3-$B5)+ABS(I$3-$C5)</f>
        <v>55</v>
      </c>
      <c r="I5" s="5"/>
      <c r="J5" s="1" t="str">
        <f t="shared" ref="J5:J11" si="3">IF(MIN(D5:I5) = D5, "C1", IF(MIN(D5:I5) = F5, "C2", "C3"))</f>
        <v>C1</v>
      </c>
      <c r="K5" s="4">
        <f t="shared" ref="K5:K11" si="4">ABS(K$3-$B5)+ABS(L$3-$C5)</f>
        <v>0</v>
      </c>
      <c r="L5" s="5"/>
      <c r="M5" s="4">
        <f t="shared" ref="M5:M11" si="5">ABS(M$3-$B5)+ABS(N$3-$C5)</f>
        <v>92</v>
      </c>
      <c r="N5" s="5"/>
      <c r="O5" s="4">
        <f t="shared" ref="O5:O11" si="6">ABS(O$3-$B5)+ABS(P$3-$C5)</f>
        <v>55</v>
      </c>
      <c r="P5" s="5"/>
      <c r="Q5" s="1" t="str">
        <f t="shared" ref="Q5:Q11" si="7">IF(MIN(K5:P5) = K5, "C1", IF(MIN(K5:P5) = M5, "C2", "C3"))</f>
        <v>C1</v>
      </c>
    </row>
    <row r="6" spans="1:17" x14ac:dyDescent="0.25">
      <c r="A6" s="1" t="s">
        <v>6</v>
      </c>
      <c r="B6" s="1">
        <v>80</v>
      </c>
      <c r="C6" s="1">
        <v>72</v>
      </c>
      <c r="D6" s="4">
        <f t="shared" si="0"/>
        <v>92</v>
      </c>
      <c r="E6" s="5"/>
      <c r="F6" s="4">
        <f t="shared" si="1"/>
        <v>0</v>
      </c>
      <c r="G6" s="5"/>
      <c r="H6" s="4">
        <f t="shared" si="2"/>
        <v>53</v>
      </c>
      <c r="I6" s="5"/>
      <c r="J6" s="1" t="str">
        <f t="shared" si="3"/>
        <v>C2</v>
      </c>
      <c r="K6" s="4">
        <f t="shared" si="4"/>
        <v>92</v>
      </c>
      <c r="L6" s="5"/>
      <c r="M6" s="4">
        <f t="shared" si="5"/>
        <v>0</v>
      </c>
      <c r="N6" s="5"/>
      <c r="O6" s="4">
        <f t="shared" si="6"/>
        <v>57</v>
      </c>
      <c r="P6" s="5"/>
      <c r="Q6" s="1" t="str">
        <f t="shared" si="7"/>
        <v>C2</v>
      </c>
    </row>
    <row r="7" spans="1:17" x14ac:dyDescent="0.25">
      <c r="A7" s="1" t="s">
        <v>7</v>
      </c>
      <c r="B7" s="1">
        <v>25</v>
      </c>
      <c r="C7" s="1">
        <v>30</v>
      </c>
      <c r="D7" s="4">
        <f t="shared" si="0"/>
        <v>15</v>
      </c>
      <c r="E7" s="5"/>
      <c r="F7" s="4">
        <f t="shared" si="1"/>
        <v>97</v>
      </c>
      <c r="G7" s="5"/>
      <c r="H7" s="4">
        <f t="shared" si="2"/>
        <v>50</v>
      </c>
      <c r="I7" s="5"/>
      <c r="J7" s="1" t="str">
        <f t="shared" si="3"/>
        <v>C1</v>
      </c>
      <c r="K7" s="4">
        <f t="shared" si="4"/>
        <v>15</v>
      </c>
      <c r="L7" s="5"/>
      <c r="M7" s="4">
        <f t="shared" si="5"/>
        <v>97</v>
      </c>
      <c r="N7" s="5"/>
      <c r="O7" s="4">
        <f t="shared" si="6"/>
        <v>40</v>
      </c>
      <c r="P7" s="5"/>
      <c r="Q7" s="1" t="str">
        <f t="shared" si="7"/>
        <v>C1</v>
      </c>
    </row>
    <row r="8" spans="1:17" x14ac:dyDescent="0.25">
      <c r="A8" s="1" t="s">
        <v>8</v>
      </c>
      <c r="B8" s="1">
        <v>70</v>
      </c>
      <c r="C8" s="1">
        <v>65</v>
      </c>
      <c r="D8" s="4">
        <f t="shared" si="0"/>
        <v>75</v>
      </c>
      <c r="E8" s="5"/>
      <c r="F8" s="4">
        <f t="shared" si="1"/>
        <v>17</v>
      </c>
      <c r="G8" s="5"/>
      <c r="H8" s="4">
        <f t="shared" si="2"/>
        <v>50</v>
      </c>
      <c r="I8" s="5"/>
      <c r="J8" s="1" t="str">
        <f t="shared" si="3"/>
        <v>C2</v>
      </c>
      <c r="K8" s="4">
        <f t="shared" si="4"/>
        <v>75</v>
      </c>
      <c r="L8" s="5"/>
      <c r="M8" s="4">
        <f t="shared" si="5"/>
        <v>17</v>
      </c>
      <c r="N8" s="5"/>
      <c r="O8" s="4">
        <f t="shared" si="6"/>
        <v>50</v>
      </c>
      <c r="P8" s="5"/>
      <c r="Q8" s="1" t="str">
        <f t="shared" si="7"/>
        <v>C2</v>
      </c>
    </row>
    <row r="9" spans="1:17" x14ac:dyDescent="0.25">
      <c r="A9" s="1" t="s">
        <v>9</v>
      </c>
      <c r="B9" s="1">
        <v>30</v>
      </c>
      <c r="C9" s="1">
        <v>75</v>
      </c>
      <c r="D9" s="4">
        <f t="shared" si="0"/>
        <v>55</v>
      </c>
      <c r="E9" s="5"/>
      <c r="F9" s="4">
        <f t="shared" si="1"/>
        <v>53</v>
      </c>
      <c r="G9" s="5"/>
      <c r="H9" s="4">
        <f t="shared" si="2"/>
        <v>0</v>
      </c>
      <c r="I9" s="5"/>
      <c r="J9" s="1" t="str">
        <f t="shared" si="3"/>
        <v>C3</v>
      </c>
      <c r="K9" s="4">
        <f t="shared" si="4"/>
        <v>55</v>
      </c>
      <c r="L9" s="5"/>
      <c r="M9" s="4">
        <f t="shared" si="5"/>
        <v>53</v>
      </c>
      <c r="N9" s="5"/>
      <c r="O9" s="4">
        <f t="shared" si="6"/>
        <v>10</v>
      </c>
      <c r="P9" s="5"/>
      <c r="Q9" s="1" t="str">
        <f t="shared" si="7"/>
        <v>C3</v>
      </c>
    </row>
    <row r="10" spans="1:17" x14ac:dyDescent="0.25">
      <c r="A10" s="1" t="s">
        <v>10</v>
      </c>
      <c r="B10" s="1">
        <v>25</v>
      </c>
      <c r="C10" s="1">
        <v>70</v>
      </c>
      <c r="D10" s="4">
        <f t="shared" si="0"/>
        <v>55</v>
      </c>
      <c r="E10" s="5"/>
      <c r="F10" s="4">
        <f t="shared" si="1"/>
        <v>57</v>
      </c>
      <c r="G10" s="5"/>
      <c r="H10" s="4">
        <f t="shared" si="2"/>
        <v>10</v>
      </c>
      <c r="I10" s="5"/>
      <c r="J10" s="1" t="str">
        <f t="shared" si="3"/>
        <v>C3</v>
      </c>
      <c r="K10" s="4">
        <f t="shared" si="4"/>
        <v>55</v>
      </c>
      <c r="L10" s="5"/>
      <c r="M10" s="4">
        <f t="shared" si="5"/>
        <v>57</v>
      </c>
      <c r="N10" s="5"/>
      <c r="O10" s="4">
        <f t="shared" si="6"/>
        <v>0</v>
      </c>
      <c r="P10" s="5"/>
      <c r="Q10" s="1" t="str">
        <f t="shared" si="7"/>
        <v>C3</v>
      </c>
    </row>
    <row r="11" spans="1:17" x14ac:dyDescent="0.25">
      <c r="A11" s="1" t="s">
        <v>11</v>
      </c>
      <c r="B11" s="1">
        <v>65</v>
      </c>
      <c r="C11" s="1">
        <v>80</v>
      </c>
      <c r="D11" s="4">
        <f t="shared" si="0"/>
        <v>85</v>
      </c>
      <c r="E11" s="5"/>
      <c r="F11" s="4">
        <f t="shared" si="1"/>
        <v>23</v>
      </c>
      <c r="G11" s="5"/>
      <c r="H11" s="4">
        <f t="shared" si="2"/>
        <v>40</v>
      </c>
      <c r="I11" s="5"/>
      <c r="J11" s="1" t="str">
        <f t="shared" si="3"/>
        <v>C2</v>
      </c>
      <c r="K11" s="4">
        <f t="shared" si="4"/>
        <v>85</v>
      </c>
      <c r="L11" s="5"/>
      <c r="M11" s="4">
        <f t="shared" si="5"/>
        <v>23</v>
      </c>
      <c r="N11" s="5"/>
      <c r="O11" s="4">
        <f t="shared" si="6"/>
        <v>50</v>
      </c>
      <c r="P11" s="5"/>
      <c r="Q11" s="1" t="str">
        <f t="shared" si="7"/>
        <v>C2</v>
      </c>
    </row>
  </sheetData>
  <mergeCells count="59">
    <mergeCell ref="O10:P10"/>
    <mergeCell ref="O11:P11"/>
    <mergeCell ref="J1:J2"/>
    <mergeCell ref="Q1:Q2"/>
    <mergeCell ref="K10:L10"/>
    <mergeCell ref="M10:N10"/>
    <mergeCell ref="K11:L11"/>
    <mergeCell ref="M11:N11"/>
    <mergeCell ref="O4:P4"/>
    <mergeCell ref="O5:P5"/>
    <mergeCell ref="O6:P6"/>
    <mergeCell ref="O7:P7"/>
    <mergeCell ref="O8:P8"/>
    <mergeCell ref="O9:P9"/>
    <mergeCell ref="K7:L7"/>
    <mergeCell ref="M7:N7"/>
    <mergeCell ref="K8:L8"/>
    <mergeCell ref="M8:N8"/>
    <mergeCell ref="K9:L9"/>
    <mergeCell ref="M9:N9"/>
    <mergeCell ref="F10:G10"/>
    <mergeCell ref="H10:I10"/>
    <mergeCell ref="F11:G11"/>
    <mergeCell ref="H11:I11"/>
    <mergeCell ref="K4:L4"/>
    <mergeCell ref="M4:N4"/>
    <mergeCell ref="K5:L5"/>
    <mergeCell ref="M5:N5"/>
    <mergeCell ref="K6:L6"/>
    <mergeCell ref="M6:N6"/>
    <mergeCell ref="D10:E10"/>
    <mergeCell ref="D11:E11"/>
    <mergeCell ref="F5:G5"/>
    <mergeCell ref="H5:I5"/>
    <mergeCell ref="F6:G6"/>
    <mergeCell ref="H6:I6"/>
    <mergeCell ref="F7:G7"/>
    <mergeCell ref="H7:I7"/>
    <mergeCell ref="F8:G8"/>
    <mergeCell ref="H8:I8"/>
    <mergeCell ref="H4:I4"/>
    <mergeCell ref="D5:E5"/>
    <mergeCell ref="D6:E6"/>
    <mergeCell ref="D7:E7"/>
    <mergeCell ref="D8:E8"/>
    <mergeCell ref="D9:E9"/>
    <mergeCell ref="F9:G9"/>
    <mergeCell ref="H9:I9"/>
    <mergeCell ref="B1:B2"/>
    <mergeCell ref="C1:C2"/>
    <mergeCell ref="A1:A3"/>
    <mergeCell ref="D4:E4"/>
    <mergeCell ref="F4:G4"/>
    <mergeCell ref="D1:E1"/>
    <mergeCell ref="F1:G1"/>
    <mergeCell ref="H1:I1"/>
    <mergeCell ref="K1:L1"/>
    <mergeCell ref="M1:N1"/>
    <mergeCell ref="O1:P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Zord</dc:creator>
  <cp:lastModifiedBy>Zord</cp:lastModifiedBy>
  <dcterms:created xsi:type="dcterms:W3CDTF">2015-06-05T18:17:20Z</dcterms:created>
  <dcterms:modified xsi:type="dcterms:W3CDTF">2025-11-21T07:23:59Z</dcterms:modified>
</cp:coreProperties>
</file>